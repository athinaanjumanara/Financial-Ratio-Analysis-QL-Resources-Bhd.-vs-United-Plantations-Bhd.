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Member Details" sheetId="1" r:id="rId4"/>
    <sheet state="visible" name="(A) Ratio analysis" sheetId="2" r:id="rId5"/>
    <sheet state="visible" name="(B) Working sheet" sheetId="3" r:id="rId6"/>
  </sheets>
  <definedNames/>
  <calcPr/>
</workbook>
</file>

<file path=xl/sharedStrings.xml><?xml version="1.0" encoding="utf-8"?>
<sst xmlns="http://schemas.openxmlformats.org/spreadsheetml/2006/main" count="67" uniqueCount="64">
  <si>
    <t>Group:</t>
  </si>
  <si>
    <t>23 (WE ARE THE EMPIRES)</t>
  </si>
  <si>
    <t>Companies:</t>
  </si>
  <si>
    <t>QL RESOURCES BERHAD</t>
  </si>
  <si>
    <t>UNITED PLANTATIONS BERHAD</t>
  </si>
  <si>
    <t>Group Members details</t>
  </si>
  <si>
    <t>Matric Number</t>
  </si>
  <si>
    <t>SHOBANA A/P MOHAN</t>
  </si>
  <si>
    <t>MUHAMMAD HAIQAL BIN RAFIQUZZAMAN</t>
  </si>
  <si>
    <t>DOROTHEA JONG KAI XIN</t>
  </si>
  <si>
    <t>KAUSLYA A/P KANAKA MANI</t>
  </si>
  <si>
    <t xml:space="preserve">LEE SOON KEAT </t>
  </si>
  <si>
    <t>ANJUMANARA ATHINA</t>
  </si>
  <si>
    <t>KHAUSAALYAAH A/P SINATHURAI</t>
  </si>
  <si>
    <t>NUR ATIQAH</t>
  </si>
  <si>
    <t xml:space="preserve">ZHAO YULIN </t>
  </si>
  <si>
    <t>SWASTIKA A/P SINAPAN</t>
  </si>
  <si>
    <t>(A)  Ratio Analysis excel sheet</t>
  </si>
  <si>
    <t>Working Capital</t>
  </si>
  <si>
    <t xml:space="preserve">Current ratio </t>
  </si>
  <si>
    <t xml:space="preserve">Acid test (Quick) ratio </t>
  </si>
  <si>
    <t xml:space="preserve">Inventory turnover ratio </t>
  </si>
  <si>
    <t>Accounts receivable turnover (times)</t>
  </si>
  <si>
    <t>Assets turnover ratio</t>
  </si>
  <si>
    <t>Debts to assets ratio</t>
  </si>
  <si>
    <t>Debts to equity ratio</t>
  </si>
  <si>
    <t>Times interest earned (times)</t>
  </si>
  <si>
    <t>Net profit margin (%)</t>
  </si>
  <si>
    <t>Returns on equity (%)</t>
  </si>
  <si>
    <t>Earnings per share (EPS)</t>
  </si>
  <si>
    <t>Price earnings ratio (PE ratio)</t>
  </si>
  <si>
    <t>Formula</t>
  </si>
  <si>
    <t>Total Current assets - Total Current Liabilities</t>
  </si>
  <si>
    <t>(Current assets / Current liabilities)</t>
  </si>
  <si>
    <t>[(Current assets-Inventories) / Current liabilities]</t>
  </si>
  <si>
    <t>(Cost of Goods Sold / Inventories)</t>
  </si>
  <si>
    <t>(Annual Credit Sales / Account receivables)</t>
  </si>
  <si>
    <t>(Net Sales / Total assets)</t>
  </si>
  <si>
    <t>(Total debt / Total assets)</t>
  </si>
  <si>
    <t>(Total debt / Total equities)</t>
  </si>
  <si>
    <t>(EBIT / Interest Expense)</t>
  </si>
  <si>
    <t>(Net income / Sales)</t>
  </si>
  <si>
    <t>(Net income / Shareholder's equity)</t>
  </si>
  <si>
    <t>[(Net income-Preferred dividends) / Average outstanding shares]</t>
  </si>
  <si>
    <t>(Market price per share / EPS)</t>
  </si>
  <si>
    <t>QL Resources Berhad</t>
  </si>
  <si>
    <t>-</t>
  </si>
  <si>
    <t>United Plantations Berhad</t>
  </si>
  <si>
    <t>(B)  Working sheet</t>
  </si>
  <si>
    <t>Current assets (RM)</t>
  </si>
  <si>
    <t>Current liabilities (RM)</t>
  </si>
  <si>
    <t>Total assets (RM)</t>
  </si>
  <si>
    <t>Total liabilities (RM)</t>
  </si>
  <si>
    <t>Total equities (RM)</t>
  </si>
  <si>
    <t>Inventories (RM)</t>
  </si>
  <si>
    <t>Account receivables (RM)</t>
  </si>
  <si>
    <t>Total sales (RM)</t>
  </si>
  <si>
    <t>Net income (RM)</t>
  </si>
  <si>
    <t>Net operating income/EBIT (RM)</t>
  </si>
  <si>
    <t>Interest Expense (RM)</t>
  </si>
  <si>
    <t>Total debt (RM)</t>
  </si>
  <si>
    <t>Cost of Goods Sold (RM)</t>
  </si>
  <si>
    <t>Net Sales (RM)</t>
  </si>
  <si>
    <t>Preferred Dividends (RM)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</si>
</sst>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b/>
      <sz val="11.0"/>
      <color theme="1"/>
      <name val="Calibri"/>
    </font>
    <font/>
    <font>
      <sz val="11.0"/>
      <color rgb="FF000000"/>
      <name val="Inconsolata"/>
    </font>
    <font>
      <sz val="9.0"/>
      <color theme="1"/>
      <name val="Calibri"/>
      <scheme val="minor"/>
    </font>
    <font>
      <color theme="1"/>
      <name val="Calibri"/>
      <scheme val="minor"/>
    </font>
    <font>
      <u/>
      <color rgb="FF0563C1"/>
      <name val="Calibri"/>
      <scheme val="minor"/>
    </font>
    <font>
      <sz val="11.0"/>
      <color rgb="FF000000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1" fillId="0" fontId="3" numFmtId="0" xfId="0" applyAlignment="1" applyBorder="1" applyFont="1">
      <alignment horizontal="left" vertical="top"/>
    </xf>
    <xf borderId="1" fillId="0" fontId="4" numFmtId="0" xfId="0" applyBorder="1" applyFont="1"/>
    <xf borderId="0" fillId="0" fontId="1" numFmtId="0" xfId="0" applyAlignment="1" applyFont="1">
      <alignment vertical="center"/>
    </xf>
    <xf borderId="2" fillId="0" fontId="3" numFmtId="0" xfId="0" applyAlignment="1" applyBorder="1" applyFont="1">
      <alignment horizontal="left" shrinkToFit="0" vertical="top" wrapText="1"/>
    </xf>
    <xf borderId="2" fillId="0" fontId="3" numFmtId="0" xfId="0" applyAlignment="1" applyBorder="1" applyFont="1">
      <alignment horizontal="center" readingOrder="0" shrinkToFit="0" vertical="top" wrapText="1"/>
    </xf>
    <xf borderId="2" fillId="0" fontId="3" numFmtId="0" xfId="0" applyAlignment="1" applyBorder="1" applyFont="1">
      <alignment horizontal="center" shrinkToFit="0" vertical="top" wrapText="1"/>
    </xf>
    <xf borderId="2" fillId="0" fontId="1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horizontal="center" shrinkToFit="0" vertical="top" wrapText="1"/>
    </xf>
    <xf borderId="2" fillId="0" fontId="1" numFmtId="0" xfId="0" applyAlignment="1" applyBorder="1" applyFont="1">
      <alignment horizontal="center" readingOrder="0" shrinkToFit="0" vertical="top" wrapText="1"/>
    </xf>
    <xf borderId="2" fillId="0" fontId="3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vertical="center"/>
    </xf>
    <xf borderId="2" fillId="0" fontId="1" numFmtId="3" xfId="0" applyAlignment="1" applyBorder="1" applyFont="1" applyNumberFormat="1">
      <alignment readingOrder="0" vertical="center"/>
    </xf>
    <xf borderId="2" fillId="0" fontId="1" numFmtId="2" xfId="0" applyAlignment="1" applyBorder="1" applyFont="1" applyNumberFormat="1">
      <alignment readingOrder="0" vertical="center"/>
    </xf>
    <xf borderId="2" fillId="0" fontId="1" numFmtId="0" xfId="0" applyAlignment="1" applyBorder="1" applyFont="1">
      <alignment vertical="center"/>
    </xf>
    <xf borderId="2" fillId="0" fontId="1" numFmtId="2" xfId="0" applyAlignment="1" applyBorder="1" applyFont="1" applyNumberFormat="1">
      <alignment vertical="center"/>
    </xf>
    <xf borderId="2" fillId="0" fontId="1" numFmtId="1" xfId="0" applyAlignment="1" applyBorder="1" applyFont="1" applyNumberFormat="1">
      <alignment vertical="center"/>
    </xf>
    <xf borderId="2" fillId="0" fontId="1" numFmtId="0" xfId="0" applyAlignment="1" applyBorder="1" applyFont="1">
      <alignment readingOrder="0" vertical="center"/>
    </xf>
    <xf borderId="2" fillId="2" fontId="5" numFmtId="0" xfId="0" applyBorder="1" applyFill="1" applyFont="1"/>
    <xf borderId="0" fillId="0" fontId="6" numFmtId="0" xfId="0" applyFon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2" fillId="0" fontId="1" numFmtId="0" xfId="0" applyBorder="1" applyFont="1"/>
    <xf borderId="0" fillId="0" fontId="9" numFmtId="3" xfId="0" applyAlignment="1" applyFont="1" applyNumberFormat="1">
      <alignment readingOrder="0"/>
    </xf>
    <xf borderId="2" fillId="0" fontId="1" numFmtId="3" xfId="0" applyAlignment="1" applyBorder="1" applyFont="1" applyNumberFormat="1">
      <alignment readingOrder="0"/>
    </xf>
    <xf borderId="2" fillId="0" fontId="1" numFmtId="0" xfId="0" applyAlignment="1" applyBorder="1" applyFont="1">
      <alignment readingOrder="0"/>
    </xf>
    <xf borderId="2" fillId="0" fontId="7" numFmtId="3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7.57"/>
    <col customWidth="1" min="2" max="2" width="35.0"/>
  </cols>
  <sheetData>
    <row r="1">
      <c r="A1" s="1" t="s">
        <v>0</v>
      </c>
      <c r="B1" s="2" t="s">
        <v>1</v>
      </c>
    </row>
    <row r="2">
      <c r="A2" s="1"/>
      <c r="B2" s="2"/>
    </row>
    <row r="3">
      <c r="A3" s="1" t="s">
        <v>2</v>
      </c>
      <c r="B3" s="3" t="s">
        <v>3</v>
      </c>
    </row>
    <row r="4">
      <c r="A4" s="1"/>
      <c r="B4" s="3" t="s">
        <v>4</v>
      </c>
    </row>
    <row r="5">
      <c r="A5" s="1"/>
      <c r="B5" s="1"/>
    </row>
    <row r="6">
      <c r="A6" s="4" t="s">
        <v>5</v>
      </c>
      <c r="B6" s="4" t="s">
        <v>6</v>
      </c>
    </row>
    <row r="7">
      <c r="A7" s="3" t="s">
        <v>7</v>
      </c>
      <c r="B7" s="3">
        <v>152692.0</v>
      </c>
    </row>
    <row r="8">
      <c r="A8" s="3" t="s">
        <v>8</v>
      </c>
      <c r="B8" s="3">
        <v>158852.0</v>
      </c>
    </row>
    <row r="9">
      <c r="A9" s="3" t="s">
        <v>9</v>
      </c>
      <c r="B9" s="3">
        <v>152076.0</v>
      </c>
    </row>
    <row r="10">
      <c r="A10" s="3" t="s">
        <v>10</v>
      </c>
      <c r="B10" s="3">
        <v>153465.0</v>
      </c>
    </row>
    <row r="11">
      <c r="A11" s="3" t="s">
        <v>11</v>
      </c>
      <c r="B11" s="3">
        <v>158717.0</v>
      </c>
    </row>
    <row r="12">
      <c r="A12" s="3" t="s">
        <v>12</v>
      </c>
      <c r="B12" s="3">
        <v>155142.0</v>
      </c>
    </row>
    <row r="13">
      <c r="A13" s="3" t="s">
        <v>13</v>
      </c>
      <c r="B13" s="3">
        <v>159355.0</v>
      </c>
    </row>
    <row r="14">
      <c r="A14" s="3" t="s">
        <v>14</v>
      </c>
      <c r="B14" s="3">
        <v>152264.0</v>
      </c>
    </row>
    <row r="15">
      <c r="A15" s="3" t="s">
        <v>15</v>
      </c>
      <c r="B15" s="3">
        <v>145328.0</v>
      </c>
    </row>
    <row r="16">
      <c r="A16" s="3" t="s">
        <v>16</v>
      </c>
      <c r="B16" s="3">
        <v>152596.0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3.29"/>
    <col customWidth="1" min="2" max="3" width="14.86"/>
    <col customWidth="1" min="4" max="4" width="17.29"/>
    <col customWidth="1" min="5" max="5" width="14.0"/>
    <col customWidth="1" min="6" max="6" width="13.71"/>
    <col customWidth="1" min="7" max="7" width="13.43"/>
    <col customWidth="1" min="8" max="8" width="11.71"/>
    <col customWidth="1" min="9" max="9" width="13.0"/>
    <col customWidth="1" min="10" max="10" width="14.71"/>
    <col customWidth="1" min="11" max="11" width="15.57"/>
    <col customWidth="1" min="12" max="12" width="14.43"/>
    <col customWidth="1" min="13" max="13" width="16.57"/>
    <col customWidth="1" min="14" max="14" width="14.0"/>
    <col customWidth="1" min="15" max="15" width="13.14"/>
    <col customWidth="1" min="16" max="16" width="14.43"/>
    <col customWidth="1" min="17" max="17" width="13.43"/>
    <col customWidth="1" min="18" max="18" width="14.29"/>
    <col customWidth="1" min="19" max="19" width="13.43"/>
    <col customWidth="1" min="20" max="20" width="13.14"/>
    <col customWidth="1" min="21" max="21" width="12.29"/>
    <col customWidth="1" min="22" max="28" width="8.71"/>
  </cols>
  <sheetData>
    <row r="1" ht="18.0" customHeight="1">
      <c r="A1" s="5" t="s">
        <v>17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7"/>
      <c r="P1" s="7"/>
    </row>
    <row r="2">
      <c r="A2" s="8"/>
      <c r="B2" s="9" t="s">
        <v>18</v>
      </c>
      <c r="C2" s="9" t="s">
        <v>19</v>
      </c>
      <c r="D2" s="9" t="s">
        <v>20</v>
      </c>
      <c r="E2" s="9" t="s">
        <v>21</v>
      </c>
      <c r="F2" s="9" t="s">
        <v>22</v>
      </c>
      <c r="G2" s="9" t="s">
        <v>23</v>
      </c>
      <c r="H2" s="10" t="s">
        <v>24</v>
      </c>
      <c r="I2" s="10" t="s">
        <v>25</v>
      </c>
      <c r="J2" s="9" t="s">
        <v>26</v>
      </c>
      <c r="K2" s="9" t="s">
        <v>27</v>
      </c>
      <c r="L2" s="9" t="s">
        <v>28</v>
      </c>
      <c r="M2" s="10" t="s">
        <v>29</v>
      </c>
      <c r="N2" s="10" t="s">
        <v>30</v>
      </c>
    </row>
    <row r="3">
      <c r="A3" s="11" t="s">
        <v>31</v>
      </c>
      <c r="B3" s="12" t="s">
        <v>32</v>
      </c>
      <c r="C3" s="13" t="s">
        <v>33</v>
      </c>
      <c r="D3" s="13" t="s">
        <v>34</v>
      </c>
      <c r="E3" s="13" t="s">
        <v>35</v>
      </c>
      <c r="F3" s="13" t="s">
        <v>36</v>
      </c>
      <c r="G3" s="13" t="s">
        <v>37</v>
      </c>
      <c r="H3" s="13" t="s">
        <v>38</v>
      </c>
      <c r="I3" s="13" t="s">
        <v>39</v>
      </c>
      <c r="J3" s="13" t="s">
        <v>40</v>
      </c>
      <c r="K3" s="13" t="s">
        <v>41</v>
      </c>
      <c r="L3" s="13" t="s">
        <v>42</v>
      </c>
      <c r="M3" s="13" t="s">
        <v>43</v>
      </c>
      <c r="N3" s="13" t="s">
        <v>44</v>
      </c>
    </row>
    <row r="4">
      <c r="A4" s="14" t="s">
        <v>45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</row>
    <row r="5">
      <c r="A5" s="16">
        <v>2020.0</v>
      </c>
      <c r="B5" s="17">
        <f>'(B) Working sheet'!B4-'(B) Working sheet'!C4</f>
        <v>418553000</v>
      </c>
      <c r="C5" s="18">
        <f>'(B) Working sheet'!B4/'(B) Working sheet'!C4</f>
        <v>1.388715581</v>
      </c>
      <c r="D5" s="18">
        <f>('(B) Working sheet'!B4-'(B) Working sheet'!G4)/'(B) Working sheet'!C4</f>
        <v>0.9277517067</v>
      </c>
      <c r="E5" s="18">
        <f>'(B) Working sheet'!N4/'(B) Working sheet'!G4</f>
        <v>6.708536568</v>
      </c>
      <c r="F5" s="19"/>
      <c r="G5" s="20">
        <f>'(B) Working sheet'!O4/'(B) Working sheet'!D4</f>
        <v>1.021996469</v>
      </c>
      <c r="H5" s="18">
        <f>'(B) Working sheet'!M4/'(B) Working sheet'!D4</f>
        <v>0.4857797353</v>
      </c>
      <c r="I5" s="18">
        <f>'(B) Working sheet'!M4/'(B) Working sheet'!F4</f>
        <v>0.9446923837</v>
      </c>
      <c r="J5" s="21">
        <f>'(B) Working sheet'!K4/'(B) Working sheet'!L4</f>
        <v>8.055601305</v>
      </c>
      <c r="K5" s="18">
        <f>'(B) Working sheet'!J4/'(B) Working sheet'!I4</f>
        <v>0.05750168559</v>
      </c>
      <c r="L5" s="22">
        <v>19.95</v>
      </c>
      <c r="M5" s="19"/>
      <c r="N5" s="19"/>
    </row>
    <row r="6">
      <c r="A6" s="16">
        <v>2019.0</v>
      </c>
      <c r="B6" s="17">
        <f>'(B) Working sheet'!B5-'(B) Working sheet'!C5</f>
        <v>506450000</v>
      </c>
      <c r="C6" s="18">
        <f>'(B) Working sheet'!B5/'(B) Working sheet'!C5</f>
        <v>1.524376329</v>
      </c>
      <c r="D6" s="18">
        <f>('(B) Working sheet'!B5-'(B) Working sheet'!G5)/'(B) Working sheet'!C5</f>
        <v>0.9312548793</v>
      </c>
      <c r="E6" s="18">
        <f>'(B) Working sheet'!N5/'(B) Working sheet'!G5</f>
        <v>5.118808753</v>
      </c>
      <c r="F6" s="19"/>
      <c r="G6" s="20">
        <f>'(B) Working sheet'!O5/'(B) Working sheet'!D5</f>
        <v>0.9824609268</v>
      </c>
      <c r="H6" s="18">
        <f>'(B) Working sheet'!M5/'(B) Working sheet'!D5</f>
        <v>0.4531673789</v>
      </c>
      <c r="I6" s="18">
        <f>'(B) Working sheet'!M5/'(B) Working sheet'!F5</f>
        <v>0.8287131406</v>
      </c>
      <c r="J6" s="21">
        <f>'(B) Working sheet'!K5/'(B) Working sheet'!L5</f>
        <v>4.987742123</v>
      </c>
      <c r="K6" s="18">
        <f>'(B) Working sheet'!J5/'(B) Working sheet'!I5</f>
        <v>0.06229972316</v>
      </c>
      <c r="L6" s="19"/>
      <c r="M6" s="19"/>
      <c r="N6" s="19"/>
    </row>
    <row r="7">
      <c r="A7" s="16">
        <v>2018.0</v>
      </c>
      <c r="B7" s="17">
        <f>'(B) Working sheet'!B6-'(B) Working sheet'!C6</f>
        <v>463871000</v>
      </c>
      <c r="C7" s="18">
        <f>'(B) Working sheet'!B6/'(B) Working sheet'!C6</f>
        <v>1.588122455</v>
      </c>
      <c r="D7" s="18">
        <f>('(B) Working sheet'!B6-'(B) Working sheet'!G6)/'(B) Working sheet'!C6</f>
        <v>1.11104152</v>
      </c>
      <c r="E7" s="18">
        <f>'(B) Working sheet'!N6/'(B) Working sheet'!G6</f>
        <v>7.062810765</v>
      </c>
      <c r="F7" s="22">
        <v>8.5</v>
      </c>
      <c r="G7" s="20">
        <f>'(B) Working sheet'!O6/'(B) Working sheet'!D6</f>
        <v>0.9811258125</v>
      </c>
      <c r="H7" s="18">
        <f>'(B) Working sheet'!M6/'(B) Working sheet'!D6</f>
        <v>0.4314559168</v>
      </c>
      <c r="I7" s="18">
        <f>'(B) Working sheet'!M6/'(B) Working sheet'!F6</f>
        <v>0.758878563</v>
      </c>
      <c r="J7" s="21">
        <f>'(B) Working sheet'!K6/'(B) Working sheet'!L6</f>
        <v>5.688921577</v>
      </c>
      <c r="K7" s="18">
        <f>'(B) Working sheet'!J6/'(B) Working sheet'!I6</f>
        <v>0.06609382613</v>
      </c>
      <c r="L7" s="22">
        <v>11.41</v>
      </c>
      <c r="M7" s="22"/>
      <c r="N7" s="19"/>
    </row>
    <row r="8">
      <c r="A8" s="16">
        <v>2017.0</v>
      </c>
      <c r="B8" s="17">
        <f>'(B) Working sheet'!B7-'(B) Working sheet'!C7</f>
        <v>347898000</v>
      </c>
      <c r="C8" s="18">
        <f>'(B) Working sheet'!B7/'(B) Working sheet'!C7</f>
        <v>1.385394153</v>
      </c>
      <c r="D8" s="18">
        <f>('(B) Working sheet'!B7-'(B) Working sheet'!G7)/'(B) Working sheet'!C7</f>
        <v>0.9359371313</v>
      </c>
      <c r="E8" s="18">
        <f>'(B) Working sheet'!N7/'(B) Working sheet'!G7</f>
        <v>6.081473302</v>
      </c>
      <c r="F8" s="22">
        <v>8.0</v>
      </c>
      <c r="G8" s="20">
        <f>'(B) Working sheet'!O7/'(B) Working sheet'!D7</f>
        <v>0.947191555</v>
      </c>
      <c r="H8" s="18">
        <f>'(B) Working sheet'!M7/'(B) Working sheet'!D7</f>
        <v>0.4208637494</v>
      </c>
      <c r="I8" s="18">
        <f>'(B) Working sheet'!M7/'(B) Working sheet'!F7</f>
        <v>0.7267093865</v>
      </c>
      <c r="J8" s="21">
        <f>'(B) Working sheet'!K7/'(B) Working sheet'!L7</f>
        <v>8.40872178</v>
      </c>
      <c r="K8" s="18">
        <f>'(B) Working sheet'!J7/'(B) Working sheet'!I7</f>
        <v>0.06866474592</v>
      </c>
      <c r="L8" s="22">
        <v>11.83</v>
      </c>
      <c r="M8" s="19"/>
      <c r="N8" s="19"/>
    </row>
    <row r="9" ht="18.75" customHeight="1">
      <c r="A9" s="16">
        <v>2016.0</v>
      </c>
      <c r="B9" s="17">
        <f>'(B) Working sheet'!B8-'(B) Working sheet'!C8</f>
        <v>337149000</v>
      </c>
      <c r="C9" s="18">
        <f>'(B) Working sheet'!B8/'(B) Working sheet'!C8</f>
        <v>1.445902945</v>
      </c>
      <c r="D9" s="18">
        <f>('(B) Working sheet'!B8-'(B) Working sheet'!G8)/'(B) Working sheet'!C8</f>
        <v>0.9496074614</v>
      </c>
      <c r="E9" s="18">
        <f>'(B) Working sheet'!N8/'(B) Working sheet'!G8</f>
        <v>6.215402491</v>
      </c>
      <c r="F9" s="22"/>
      <c r="G9" s="20">
        <f>'(B) Working sheet'!O8/'(B) Working sheet'!D8</f>
        <v>1.015377816</v>
      </c>
      <c r="H9" s="18">
        <f>'(B) Working sheet'!M8/'(B) Working sheet'!D8</f>
        <v>0.1205688069</v>
      </c>
      <c r="I9" s="18">
        <f>'(B) Working sheet'!M8/'(B) Working sheet'!F8</f>
        <v>0.2027663035</v>
      </c>
      <c r="J9" s="21">
        <f>'(B) Working sheet'!K8/'(B) Working sheet'!L8</f>
        <v>6.947009356</v>
      </c>
      <c r="K9" s="18">
        <f>'(B) Working sheet'!J8/'(B) Working sheet'!I8</f>
        <v>0.07960966398</v>
      </c>
      <c r="L9" s="22">
        <v>13.6</v>
      </c>
      <c r="M9" s="22" t="s">
        <v>46</v>
      </c>
      <c r="N9" s="22" t="s">
        <v>46</v>
      </c>
    </row>
    <row r="10">
      <c r="A10" s="14" t="s">
        <v>47</v>
      </c>
      <c r="B10" s="15"/>
      <c r="C10" s="18"/>
      <c r="D10" s="18"/>
      <c r="E10" s="18"/>
      <c r="F10" s="15"/>
      <c r="G10" s="20"/>
      <c r="H10" s="18"/>
      <c r="I10" s="18"/>
      <c r="J10" s="21"/>
      <c r="K10" s="18"/>
      <c r="L10" s="15"/>
      <c r="M10" s="15"/>
      <c r="N10" s="15"/>
    </row>
    <row r="11">
      <c r="A11" s="16">
        <v>2020.0</v>
      </c>
      <c r="B11" s="17">
        <f>'(B) Working sheet'!B10-'(B) Working sheet'!C10</f>
        <v>795259000</v>
      </c>
      <c r="C11" s="18">
        <f>'(B) Working sheet'!B10/'(B) Working sheet'!C10</f>
        <v>5.490248888</v>
      </c>
      <c r="D11" s="18">
        <f>('(B) Working sheet'!B10-'(B) Working sheet'!G10)/'(B) Working sheet'!C10</f>
        <v>4.731101927</v>
      </c>
      <c r="E11" s="18">
        <f>'(B) Working sheet'!N10/'(B) Working sheet'!G10</f>
        <v>0.09803571561</v>
      </c>
      <c r="F11" s="20"/>
      <c r="G11" s="20">
        <f>'(B) Working sheet'!O10/'(B) Working sheet'!D10</f>
        <v>0.4500235138</v>
      </c>
      <c r="H11" s="18">
        <f>'(B) Working sheet'!M10/'(B) Working sheet'!D10</f>
        <v>0.03194145316</v>
      </c>
      <c r="I11" s="18">
        <f>'(B) Working sheet'!M10/'(B) Working sheet'!F10</f>
        <v>0.03611725708</v>
      </c>
      <c r="J11" s="21">
        <f>'(B) Working sheet'!K10/'(B) Working sheet'!L10</f>
        <v>172.290625</v>
      </c>
      <c r="K11" s="18">
        <f>'(B) Working sheet'!J10/'(B) Working sheet'!I10</f>
        <v>0.2996713575</v>
      </c>
      <c r="L11" s="19"/>
      <c r="M11" s="19"/>
      <c r="N11" s="19"/>
    </row>
    <row r="12">
      <c r="A12" s="16">
        <v>2019.0</v>
      </c>
      <c r="B12" s="17">
        <f>'(B) Working sheet'!B11-'(B) Working sheet'!C11</f>
        <v>747113000</v>
      </c>
      <c r="C12" s="18">
        <f>'(B) Working sheet'!B11/'(B) Working sheet'!C11</f>
        <v>6.896150325</v>
      </c>
      <c r="D12" s="18">
        <f>('(B) Working sheet'!B11-'(B) Working sheet'!G11)/'(B) Working sheet'!C11</f>
        <v>5.920204874</v>
      </c>
      <c r="E12" s="18">
        <f>'(B) Working sheet'!N11/'(B) Working sheet'!G11</f>
        <v>0.1249838271</v>
      </c>
      <c r="F12" s="20"/>
      <c r="G12" s="20">
        <f>'(B) Working sheet'!O11/'(B) Working sheet'!D11</f>
        <v>0.4099043073</v>
      </c>
      <c r="H12" s="18">
        <f>'(B) Working sheet'!M11/'(B) Working sheet'!D11</f>
        <v>0.03215542869</v>
      </c>
      <c r="I12" s="18">
        <f>'(B) Working sheet'!M11/'(B) Working sheet'!F11</f>
        <v>0.03598857068</v>
      </c>
      <c r="J12" s="21">
        <f>'(B) Working sheet'!K11/'(B) Working sheet'!L11</f>
        <v>46.92885311</v>
      </c>
      <c r="K12" s="18">
        <f>'(B) Working sheet'!J11/'(B) Working sheet'!I11</f>
        <v>0.2423712877</v>
      </c>
      <c r="L12" s="19"/>
      <c r="M12" s="19"/>
      <c r="N12" s="19"/>
    </row>
    <row r="13">
      <c r="A13" s="16">
        <v>2018.0</v>
      </c>
      <c r="B13" s="17">
        <f>'(B) Working sheet'!B12-'(B) Working sheet'!C12</f>
        <v>1186146000</v>
      </c>
      <c r="C13" s="18">
        <f>'(B) Working sheet'!B12/'(B) Working sheet'!C12</f>
        <v>7.982833528</v>
      </c>
      <c r="D13" s="18">
        <f>('(B) Working sheet'!B12-'(B) Working sheet'!G12)/'(B) Working sheet'!C12</f>
        <v>7.082912413</v>
      </c>
      <c r="E13" s="18">
        <f>'(B) Working sheet'!N12/'(B) Working sheet'!G12</f>
        <v>0.1420132665</v>
      </c>
      <c r="F13" s="20"/>
      <c r="G13" s="20">
        <f>'(B) Working sheet'!O12/'(B) Working sheet'!D12</f>
        <v>0.4467961605</v>
      </c>
      <c r="H13" s="18">
        <f>'(B) Working sheet'!M12/'(B) Working sheet'!D12</f>
        <v>0.04709070655</v>
      </c>
      <c r="I13" s="18">
        <f>'(B) Working sheet'!M12/'(B) Working sheet'!F12</f>
        <v>0.05308358669</v>
      </c>
      <c r="J13" s="21">
        <f>'(B) Working sheet'!K12/'(B) Working sheet'!L12</f>
        <v>72.81586639</v>
      </c>
      <c r="K13" s="18">
        <f>'(B) Working sheet'!J12/'(B) Working sheet'!I12</f>
        <v>0.2865369017</v>
      </c>
      <c r="L13" s="23"/>
      <c r="M13" s="19"/>
      <c r="N13" s="19"/>
    </row>
    <row r="14">
      <c r="A14" s="16">
        <v>2017.0</v>
      </c>
      <c r="B14" s="17">
        <f>'(B) Working sheet'!B13-'(B) Working sheet'!C13</f>
        <v>1140875000</v>
      </c>
      <c r="C14" s="18">
        <f>'(B) Working sheet'!B13/'(B) Working sheet'!C13</f>
        <v>7.964113489</v>
      </c>
      <c r="D14" s="18">
        <f>('(B) Working sheet'!B13-'(B) Working sheet'!G13)/'(B) Working sheet'!C13</f>
        <v>7.006775647</v>
      </c>
      <c r="E14" s="18">
        <f>'(B) Working sheet'!N13/'(B) Working sheet'!G13</f>
        <v>0.1141596475</v>
      </c>
      <c r="F14" s="18">
        <v>8.74</v>
      </c>
      <c r="G14" s="20">
        <f>'(B) Working sheet'!O13/'(B) Working sheet'!D13</f>
        <v>0.5168380787</v>
      </c>
      <c r="H14" s="18">
        <f>'(B) Working sheet'!M13/'(B) Working sheet'!D13</f>
        <v>0.04837598662</v>
      </c>
      <c r="I14" s="18">
        <f>'(B) Working sheet'!M13/'(B) Working sheet'!F13</f>
        <v>0.05447250652</v>
      </c>
      <c r="J14" s="21">
        <f>'(B) Working sheet'!K13/'(B) Working sheet'!L13</f>
        <v>45.77020385</v>
      </c>
      <c r="K14" s="18">
        <f>'(B) Working sheet'!J13/'(B) Working sheet'!I13</f>
        <v>0.2677038885</v>
      </c>
      <c r="L14" s="22">
        <v>0.16</v>
      </c>
      <c r="M14" s="19"/>
      <c r="N14" s="19"/>
    </row>
    <row r="15">
      <c r="A15" s="16">
        <v>2016.0</v>
      </c>
      <c r="B15" s="17">
        <f>'(B) Working sheet'!B14-'(B) Working sheet'!C14</f>
        <v>1040567000</v>
      </c>
      <c r="C15" s="18">
        <f>'(B) Working sheet'!B14/'(B) Working sheet'!C14</f>
        <v>8.140768038</v>
      </c>
      <c r="D15" s="18">
        <f>('(B) Working sheet'!B14-'(B) Working sheet'!G14)/'(B) Working sheet'!C14</f>
        <v>6.837203717</v>
      </c>
      <c r="E15" s="18">
        <f>'(B) Working sheet'!N14/'(B) Working sheet'!G14</f>
        <v>0.3805262216</v>
      </c>
      <c r="F15" s="20"/>
      <c r="G15" s="20">
        <f>'(B) Working sheet'!O14/'(B) Working sheet'!D14</f>
        <v>0.4643915903</v>
      </c>
      <c r="H15" s="18">
        <f>'(B) Working sheet'!M14/'(B) Working sheet'!D14</f>
        <v>0.04334336145</v>
      </c>
      <c r="I15" s="18">
        <f>'(B) Working sheet'!M14/'(B) Working sheet'!F14</f>
        <v>0.04836570554</v>
      </c>
      <c r="J15" s="21">
        <f>'(B) Working sheet'!K14/'(B) Working sheet'!L14</f>
        <v>12.14375745</v>
      </c>
      <c r="K15" s="18">
        <f>'(B) Working sheet'!J14/'(B) Working sheet'!I14</f>
        <v>0.2693025959</v>
      </c>
      <c r="L15" s="19"/>
      <c r="M15" s="19"/>
      <c r="N15" s="19"/>
    </row>
    <row r="16">
      <c r="F16" s="24"/>
    </row>
    <row r="17">
      <c r="F17" s="24"/>
    </row>
    <row r="18">
      <c r="F18" s="2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>
      <c r="L34" s="25"/>
    </row>
    <row r="35" ht="15.75" customHeight="1">
      <c r="L35" s="25"/>
    </row>
    <row r="36" ht="15.75" customHeight="1">
      <c r="L36" s="26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">
    <mergeCell ref="A1:N1"/>
  </mergeCells>
  <printOptions/>
  <pageMargins bottom="0.75" footer="0.0" header="0.0" left="0.7" right="0.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5" t="s">
        <v>48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>
      <c r="A2" s="8"/>
      <c r="B2" s="9" t="s">
        <v>49</v>
      </c>
      <c r="C2" s="9" t="s">
        <v>50</v>
      </c>
      <c r="D2" s="9" t="s">
        <v>51</v>
      </c>
      <c r="E2" s="9" t="s">
        <v>52</v>
      </c>
      <c r="F2" s="9" t="s">
        <v>53</v>
      </c>
      <c r="G2" s="9" t="s">
        <v>54</v>
      </c>
      <c r="H2" s="9" t="s">
        <v>55</v>
      </c>
      <c r="I2" s="9" t="s">
        <v>56</v>
      </c>
      <c r="J2" s="9" t="s">
        <v>57</v>
      </c>
      <c r="K2" s="9" t="s">
        <v>58</v>
      </c>
      <c r="L2" s="9" t="s">
        <v>59</v>
      </c>
      <c r="M2" s="9" t="s">
        <v>60</v>
      </c>
      <c r="N2" s="9" t="s">
        <v>61</v>
      </c>
      <c r="O2" s="9" t="s">
        <v>62</v>
      </c>
      <c r="P2" s="9" t="s">
        <v>63</v>
      </c>
    </row>
    <row r="3">
      <c r="A3" s="14" t="s">
        <v>45</v>
      </c>
      <c r="B3" s="15"/>
      <c r="C3" s="15"/>
      <c r="D3" s="15"/>
      <c r="E3" s="15"/>
      <c r="F3" s="15"/>
      <c r="G3" s="15"/>
      <c r="H3" s="15"/>
      <c r="I3" s="15"/>
      <c r="J3" s="15"/>
      <c r="K3" s="27"/>
      <c r="L3" s="27"/>
      <c r="M3" s="27"/>
      <c r="N3" s="27"/>
      <c r="O3" s="27"/>
      <c r="P3" s="27"/>
    </row>
    <row r="4">
      <c r="A4" s="16">
        <v>2020.0</v>
      </c>
      <c r="B4" s="17">
        <v>1.495312E9</v>
      </c>
      <c r="C4" s="17">
        <v>1.076759E9</v>
      </c>
      <c r="D4" s="17">
        <v>4.06638E9</v>
      </c>
      <c r="E4" s="17">
        <v>1.975365E9</v>
      </c>
      <c r="F4" s="28">
        <v>2.091014E9</v>
      </c>
      <c r="G4" s="17">
        <v>4.96347E8</v>
      </c>
      <c r="H4" s="17">
        <v>3.5815E8</v>
      </c>
      <c r="I4" s="17">
        <v>4.155826E9</v>
      </c>
      <c r="J4" s="17">
        <v>2.38967E8</v>
      </c>
      <c r="K4" s="29">
        <v>5.28238E8</v>
      </c>
      <c r="L4" s="29">
        <v>6.5574E7</v>
      </c>
      <c r="M4" s="29">
        <v>1.975365E9</v>
      </c>
      <c r="N4" s="29">
        <v>3.329762E9</v>
      </c>
      <c r="O4" s="29">
        <v>4.155826E9</v>
      </c>
      <c r="P4" s="30"/>
    </row>
    <row r="5">
      <c r="A5" s="16">
        <v>2019.0</v>
      </c>
      <c r="B5" s="17">
        <v>1.472264E9</v>
      </c>
      <c r="C5" s="17">
        <v>9.65814E8</v>
      </c>
      <c r="D5" s="17">
        <v>3.683661E9</v>
      </c>
      <c r="E5" s="17">
        <v>1.669315E9</v>
      </c>
      <c r="F5" s="17">
        <v>2.014346E9</v>
      </c>
      <c r="G5" s="17">
        <v>5.72845E8</v>
      </c>
      <c r="H5" s="17">
        <v>3.08928E8</v>
      </c>
      <c r="I5" s="17">
        <v>3.619053E9</v>
      </c>
      <c r="J5" s="17">
        <v>2.25466E8</v>
      </c>
      <c r="K5" s="29">
        <v>2.91748E8</v>
      </c>
      <c r="L5" s="29">
        <v>5.8493E7</v>
      </c>
      <c r="M5" s="29">
        <v>1.669315E9</v>
      </c>
      <c r="N5" s="29">
        <v>2.932284E9</v>
      </c>
      <c r="O5" s="29">
        <v>3.619053E9</v>
      </c>
      <c r="P5" s="30"/>
    </row>
    <row r="6">
      <c r="A6" s="16">
        <v>2018.0</v>
      </c>
      <c r="B6" s="17">
        <v>1.252603E9</v>
      </c>
      <c r="C6" s="17">
        <v>7.88732E8</v>
      </c>
      <c r="D6" s="17">
        <v>3.325918E9</v>
      </c>
      <c r="E6" s="17">
        <v>1.434987E9</v>
      </c>
      <c r="F6" s="17">
        <v>1.890931E9</v>
      </c>
      <c r="G6" s="17">
        <v>3.76289E8</v>
      </c>
      <c r="H6" s="17">
        <v>3.83986E8</v>
      </c>
      <c r="I6" s="17">
        <v>3.26327E9</v>
      </c>
      <c r="J6" s="17">
        <v>2.15682E8</v>
      </c>
      <c r="K6" s="29">
        <v>2.59119E8</v>
      </c>
      <c r="L6" s="29">
        <v>4.5548E7</v>
      </c>
      <c r="M6" s="29">
        <v>1.434987E9</v>
      </c>
      <c r="N6" s="29">
        <v>2.657658E9</v>
      </c>
      <c r="O6" s="29">
        <v>3.263144E9</v>
      </c>
      <c r="P6" s="29"/>
    </row>
    <row r="7">
      <c r="A7" s="16">
        <v>2017.0</v>
      </c>
      <c r="B7" s="17">
        <v>1.250605E9</v>
      </c>
      <c r="C7" s="17">
        <v>9.02707E8</v>
      </c>
      <c r="D7" s="17">
        <v>3.179927E9</v>
      </c>
      <c r="E7" s="17">
        <v>1.338316E9</v>
      </c>
      <c r="F7" s="17">
        <v>1.841611E9</v>
      </c>
      <c r="G7" s="17">
        <v>4.05728E8</v>
      </c>
      <c r="H7" s="17">
        <v>3.78597E8</v>
      </c>
      <c r="I7" s="17">
        <v>3.012026E9</v>
      </c>
      <c r="J7" s="17">
        <v>2.0682E8</v>
      </c>
      <c r="K7" s="29">
        <v>3.10635E8</v>
      </c>
      <c r="L7" s="29">
        <v>3.6942E7</v>
      </c>
      <c r="M7" s="29">
        <v>1.338316E9</v>
      </c>
      <c r="N7" s="29">
        <v>2.467424E9</v>
      </c>
      <c r="O7" s="29">
        <v>3.012E9</v>
      </c>
      <c r="P7" s="30"/>
    </row>
    <row r="8">
      <c r="A8" s="16">
        <v>2016.0</v>
      </c>
      <c r="B8" s="17">
        <v>1.093253E9</v>
      </c>
      <c r="C8" s="17">
        <v>7.56104E8</v>
      </c>
      <c r="D8" s="17">
        <v>2.810022E9</v>
      </c>
      <c r="E8" s="17">
        <v>1.139128E9</v>
      </c>
      <c r="F8" s="17">
        <v>1.670894E9</v>
      </c>
      <c r="G8" s="17">
        <v>3.75251E8</v>
      </c>
      <c r="H8" s="17">
        <v>3.38801E8</v>
      </c>
      <c r="I8" s="17">
        <v>2.853234E9</v>
      </c>
      <c r="J8" s="17">
        <v>2.27145E8</v>
      </c>
      <c r="K8" s="29">
        <v>2.49481E8</v>
      </c>
      <c r="L8" s="29">
        <v>3.5912E7</v>
      </c>
      <c r="M8" s="29">
        <v>3.38801E8</v>
      </c>
      <c r="N8" s="29">
        <v>2.332336E9</v>
      </c>
      <c r="O8" s="29">
        <v>2.853234E9</v>
      </c>
      <c r="P8" s="30"/>
    </row>
    <row r="9">
      <c r="A9" s="14" t="s">
        <v>47</v>
      </c>
      <c r="B9" s="15"/>
      <c r="C9" s="15"/>
      <c r="D9" s="15"/>
      <c r="E9" s="15"/>
      <c r="F9" s="15"/>
      <c r="G9" s="15"/>
      <c r="H9" s="15"/>
      <c r="I9" s="15"/>
      <c r="J9" s="15"/>
      <c r="K9" s="27"/>
      <c r="L9" s="27"/>
      <c r="M9" s="27"/>
      <c r="N9" s="27"/>
      <c r="O9" s="27"/>
      <c r="P9" s="27"/>
    </row>
    <row r="10">
      <c r="A10" s="16">
        <v>2020.0</v>
      </c>
      <c r="B10" s="31">
        <v>9.72367E8</v>
      </c>
      <c r="C10" s="31">
        <v>1.77108E8</v>
      </c>
      <c r="D10" s="31">
        <v>2.974849E9</v>
      </c>
      <c r="E10" s="31">
        <v>3.43946E8</v>
      </c>
      <c r="F10" s="31">
        <v>2.630903E9</v>
      </c>
      <c r="G10" s="31">
        <v>1.34451E8</v>
      </c>
      <c r="H10" s="31">
        <v>1.86853E8</v>
      </c>
      <c r="I10" s="31">
        <v>1.340058E9</v>
      </c>
      <c r="J10" s="31">
        <v>4.01577E8</v>
      </c>
      <c r="K10" s="31">
        <v>3.85931E8</v>
      </c>
      <c r="L10" s="31">
        <v>2240000.0</v>
      </c>
      <c r="M10" s="31">
        <v>9.5021E7</v>
      </c>
      <c r="N10" s="31">
        <v>1.3181E7</v>
      </c>
      <c r="O10" s="29">
        <v>1.338752E9</v>
      </c>
      <c r="P10" s="31">
        <v>89900.0</v>
      </c>
    </row>
    <row r="11">
      <c r="A11" s="16">
        <v>2019.0</v>
      </c>
      <c r="B11" s="31">
        <v>8.73825E8</v>
      </c>
      <c r="C11" s="31">
        <v>1.26712E8</v>
      </c>
      <c r="D11" s="31">
        <v>2.858211E9</v>
      </c>
      <c r="E11" s="31">
        <v>3.04428E8</v>
      </c>
      <c r="F11" s="31">
        <v>2.553783E9</v>
      </c>
      <c r="G11" s="31">
        <v>1.23664E8</v>
      </c>
      <c r="H11" s="31">
        <v>1.57966E8</v>
      </c>
      <c r="I11" s="31">
        <v>1.173101E9</v>
      </c>
      <c r="J11" s="31">
        <v>2.84326E8</v>
      </c>
      <c r="K11" s="31">
        <v>2.85609E8</v>
      </c>
      <c r="L11" s="31">
        <v>6086000.0</v>
      </c>
      <c r="M11" s="31">
        <v>9.1907E7</v>
      </c>
      <c r="N11" s="31">
        <v>1.5456E7</v>
      </c>
      <c r="O11" s="29">
        <v>1.171593E9</v>
      </c>
      <c r="P11" s="31">
        <v>89900.0</v>
      </c>
    </row>
    <row r="12">
      <c r="A12" s="16">
        <v>2018.0</v>
      </c>
      <c r="B12" s="31">
        <v>1.356012E9</v>
      </c>
      <c r="C12" s="31">
        <v>1.69866E8</v>
      </c>
      <c r="D12" s="31">
        <v>2.918389E9</v>
      </c>
      <c r="E12" s="31">
        <v>3.29472E8</v>
      </c>
      <c r="F12" s="31">
        <v>2.588917E9</v>
      </c>
      <c r="G12" s="31">
        <v>1.52866E8</v>
      </c>
      <c r="H12" s="31">
        <v>1.33712E8</v>
      </c>
      <c r="I12" s="31">
        <v>1.305591E9</v>
      </c>
      <c r="J12" s="31">
        <v>3.741E8</v>
      </c>
      <c r="K12" s="31">
        <v>5.23182E8</v>
      </c>
      <c r="L12" s="31">
        <v>7185000.0</v>
      </c>
      <c r="M12" s="31">
        <v>1.37429E8</v>
      </c>
      <c r="N12" s="31">
        <v>2.1709E7</v>
      </c>
      <c r="O12" s="29">
        <v>1.303925E9</v>
      </c>
      <c r="P12" s="31">
        <v>324800.0</v>
      </c>
    </row>
    <row r="13">
      <c r="A13" s="16">
        <v>2017.0</v>
      </c>
      <c r="B13" s="31">
        <v>1.304697E9</v>
      </c>
      <c r="C13" s="31">
        <v>1.63822E8</v>
      </c>
      <c r="D13" s="31">
        <v>2.849761E9</v>
      </c>
      <c r="E13" s="31">
        <v>3.18943E8</v>
      </c>
      <c r="F13" s="31">
        <v>2.530818E9</v>
      </c>
      <c r="G13" s="31">
        <v>1.56833E8</v>
      </c>
      <c r="H13" s="31">
        <v>1.68602E8</v>
      </c>
      <c r="I13" s="31">
        <v>1.474323E9</v>
      </c>
      <c r="J13" s="31">
        <v>3.94682E8</v>
      </c>
      <c r="K13" s="31">
        <v>5.68054E8</v>
      </c>
      <c r="L13" s="31">
        <v>1.2411E7</v>
      </c>
      <c r="M13" s="31">
        <v>1.3786E8</v>
      </c>
      <c r="N13" s="31">
        <v>1.7904E7</v>
      </c>
      <c r="O13" s="29">
        <v>1.472865E9</v>
      </c>
      <c r="P13" s="31">
        <v>349800.0</v>
      </c>
    </row>
    <row r="14">
      <c r="A14" s="16">
        <v>2016.0</v>
      </c>
      <c r="B14" s="31">
        <v>1.186289E9</v>
      </c>
      <c r="C14" s="31">
        <v>1.45722E8</v>
      </c>
      <c r="D14" s="31">
        <v>2.641904E9</v>
      </c>
      <c r="E14" s="31">
        <v>2.74338E8</v>
      </c>
      <c r="F14" s="31">
        <v>2.367566E9</v>
      </c>
      <c r="G14" s="31">
        <v>1.89958E8</v>
      </c>
      <c r="H14" s="31">
        <v>1.81875E8</v>
      </c>
      <c r="I14" s="31">
        <v>1.228384E9</v>
      </c>
      <c r="J14" s="31">
        <v>3.30807E8</v>
      </c>
      <c r="K14" s="31">
        <v>2.13888E8</v>
      </c>
      <c r="L14" s="29">
        <v>1.7613E7</v>
      </c>
      <c r="M14" s="29">
        <v>1.14509E8</v>
      </c>
      <c r="N14" s="31">
        <v>7.2284E7</v>
      </c>
      <c r="O14" s="29">
        <v>1.226878E9</v>
      </c>
      <c r="P14" s="31">
        <v>404826.0</v>
      </c>
    </row>
  </sheetData>
  <mergeCells count="1">
    <mergeCell ref="A1:N1"/>
  </mergeCells>
  <drawing r:id="rId1"/>
</worksheet>
</file>